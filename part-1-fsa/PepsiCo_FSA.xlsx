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3EF7A20C859B689/Documents/"/>
    </mc:Choice>
  </mc:AlternateContent>
  <xr:revisionPtr revIDLastSave="18" documentId="8_{DEC4B3FA-7320-44BF-8F81-AB5C9D2B0FEA}" xr6:coauthVersionLast="47" xr6:coauthVersionMax="47" xr10:uidLastSave="{D8684540-AC97-4D34-8DC2-83E3DCCE0B75}"/>
  <bookViews>
    <workbookView xWindow="-109" yWindow="-109" windowWidth="26301" windowHeight="14169" tabRatio="500" activeTab="1" xr2:uid="{00000000-000D-0000-FFFF-FFFF00000000}"/>
  </bookViews>
  <sheets>
    <sheet name="Segment Data" sheetId="1" r:id="rId1"/>
    <sheet name="Segment Margi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1" i="2" l="1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E12" i="2"/>
  <c r="D12" i="2"/>
  <c r="C12" i="2"/>
  <c r="B12" i="2"/>
  <c r="E11" i="2"/>
  <c r="D11" i="2"/>
  <c r="C11" i="2"/>
  <c r="B11" i="2"/>
  <c r="E10" i="2"/>
  <c r="D10" i="2"/>
  <c r="C10" i="2"/>
  <c r="B10" i="2"/>
  <c r="E9" i="2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B6" i="2"/>
  <c r="G24" i="1"/>
  <c r="F24" i="1"/>
  <c r="E24" i="1"/>
  <c r="D24" i="1"/>
  <c r="C24" i="1"/>
  <c r="B24" i="1"/>
  <c r="I14" i="1"/>
  <c r="H14" i="1"/>
  <c r="G14" i="1"/>
  <c r="F14" i="1"/>
  <c r="E14" i="1"/>
  <c r="D14" i="1"/>
  <c r="C14" i="1"/>
  <c r="B14" i="1"/>
</calcChain>
</file>

<file path=xl/sharedStrings.xml><?xml version="1.0" encoding="utf-8"?>
<sst xmlns="http://schemas.openxmlformats.org/spreadsheetml/2006/main" count="62" uniqueCount="43">
  <si>
    <t>PepsiCo Segment Revenue and Operating Profit ($ millions)</t>
  </si>
  <si>
    <t>Source: PepsiCo Annual Reports (10-K), SEC EDGAR, FY2019–FY2025</t>
  </si>
  <si>
    <t>Note: Blue values are hardcoded from filings. 2019–2022 use the original 7-segment structure. 2023–2025 use the recast 6-segment structure effective Q1 2025.</t>
  </si>
  <si>
    <t>2019–2022: Original Seven-Segment Structure</t>
  </si>
  <si>
    <t>Segment</t>
  </si>
  <si>
    <t>2019 Revenue</t>
  </si>
  <si>
    <t>2019 Op Profit</t>
  </si>
  <si>
    <t>2020 Revenue</t>
  </si>
  <si>
    <t>2020 Op Profit</t>
  </si>
  <si>
    <t>2021 Revenue</t>
  </si>
  <si>
    <t>2021 Op Profit</t>
  </si>
  <si>
    <t>2022 Revenue</t>
  </si>
  <si>
    <t>2022 Op Profit</t>
  </si>
  <si>
    <t>FLNA</t>
  </si>
  <si>
    <t>QFNA</t>
  </si>
  <si>
    <t>PBNA</t>
  </si>
  <si>
    <t>LatAm</t>
  </si>
  <si>
    <t>Europe</t>
  </si>
  <si>
    <t>AMESA</t>
  </si>
  <si>
    <t>APAC</t>
  </si>
  <si>
    <t>Total</t>
  </si>
  <si>
    <t>2023–2025: Recast Six-Segment Structure (effective Q1 2025)</t>
  </si>
  <si>
    <t>2023 Revenue</t>
  </si>
  <si>
    <t>2023 Op Profit</t>
  </si>
  <si>
    <t>2024 Revenue</t>
  </si>
  <si>
    <t>2024 Op Profit</t>
  </si>
  <si>
    <t>2025 Revenue</t>
  </si>
  <si>
    <t>2025 Op Profit</t>
  </si>
  <si>
    <t>PFNA</t>
  </si>
  <si>
    <t>IB Franchise</t>
  </si>
  <si>
    <t>EMEA</t>
  </si>
  <si>
    <t>LatAm Foods</t>
  </si>
  <si>
    <t>Asia Pacific Foods</t>
  </si>
  <si>
    <t>PepsiCo Segment Operating Margins (%)</t>
  </si>
  <si>
    <t>Operating Margin = Operating Profit / Revenue. Calculated from Segment Data sheet.</t>
  </si>
  <si>
    <t>2019 Margin</t>
  </si>
  <si>
    <t>2020 Margin</t>
  </si>
  <si>
    <t>2021 Margin</t>
  </si>
  <si>
    <t>2022 Margin</t>
  </si>
  <si>
    <t>2023–2025: Recast Six-Segment Structure</t>
  </si>
  <si>
    <t>2023 Margin</t>
  </si>
  <si>
    <t>2024 Margin</t>
  </si>
  <si>
    <t>2025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</si>
</sst>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(0.0%\);\-"/>
  </numFmts>
  <fonts count="8" x14ac:knownFonts="1">
    <font>
      <sz val="11"/>
      <color theme="1"/>
      <name val="Calibri"/>
      <family val="2"/>
      <charset val="1"/>
    </font>
    <font>
      <i/>
      <sz val="12"/>
      <color rgb="FF666666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b/>
      <sz val="12"/>
      <color rgb="FFFFFFFF"/>
      <name val="Arial"/>
      <family val="2"/>
    </font>
    <font>
      <sz val="12"/>
      <color rgb="FF0000FF"/>
      <name val="Arial"/>
      <family val="2"/>
    </font>
    <font>
      <sz val="12"/>
      <color theme="1"/>
      <name val="Calibri"/>
      <family val="2"/>
      <charset val="1"/>
    </font>
    <font>
      <sz val="12"/>
      <color rgb="FF008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3087"/>
        <bgColor rgb="FF333333"/>
      </patternFill>
    </fill>
    <fill>
      <patternFill patternType="solid">
        <fgColor rgb="FF00A3E0"/>
        <bgColor rgb="FFCCCC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6" fillId="0" borderId="0" xfId="0" applyFont="1"/>
    <xf numFmtId="165" fontId="7" fillId="0" borderId="1" xfId="0" applyNumberFormat="1" applyFont="1" applyBorder="1" applyAlignment="1">
      <alignment horizontal="right"/>
    </xf>
    <xf numFmtId="0" fontId="4" fillId="2" borderId="1" xfId="0" applyFont="1" applyFill="1" applyBorder="1" applyAlignment="1">
      <alignment horizontal="center" vertical="center" wrapText="1"/>
    </xf>
    <xf numFmtId="0" fontId="3" fillId="3" borderId="0" xfId="0" applyFont="1" applyFill="1"/>
  </cellXfs>
  <cellStyles count="1">
    <cellStyle name="Normal" xfId="0" builtinId="0"/>
  </cellStyles>
  <dxfs count="2"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3087"/>
      <color rgb="FF00A3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4"/>
  <sheetViews>
    <sheetView zoomScaleNormal="100" workbookViewId="0">
      <selection activeCell="I20" sqref="I20"/>
    </sheetView>
  </sheetViews>
  <sheetFormatPr defaultColWidth="8.625" defaultRowHeight="14.3" x14ac:dyDescent="0.25"/>
  <cols>
    <col min="1" max="1" width="22" customWidth="1"/>
    <col min="2" max="9" width="14" customWidth="1"/>
  </cols>
  <sheetData>
    <row r="1" spans="1:19" ht="23.8" x14ac:dyDescent="0.4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ht="16.3" x14ac:dyDescent="0.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6.3" x14ac:dyDescent="0.3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5" spans="1:19" ht="15.65" x14ac:dyDescent="0.25">
      <c r="A5" s="9" t="s">
        <v>3</v>
      </c>
      <c r="B5" s="9"/>
      <c r="C5" s="9"/>
      <c r="D5" s="9"/>
      <c r="E5" s="9"/>
      <c r="F5" s="9"/>
      <c r="G5" s="9"/>
      <c r="H5" s="9"/>
      <c r="I5" s="9"/>
    </row>
    <row r="6" spans="1:19" ht="34.5" customHeight="1" x14ac:dyDescent="0.25">
      <c r="A6" s="8" t="s">
        <v>4</v>
      </c>
      <c r="B6" s="8" t="s">
        <v>5</v>
      </c>
      <c r="C6" s="8" t="s">
        <v>6</v>
      </c>
      <c r="D6" s="8" t="s">
        <v>7</v>
      </c>
      <c r="E6" s="8" t="s">
        <v>8</v>
      </c>
      <c r="F6" s="8" t="s">
        <v>9</v>
      </c>
      <c r="G6" s="8" t="s">
        <v>10</v>
      </c>
      <c r="H6" s="8" t="s">
        <v>11</v>
      </c>
      <c r="I6" s="8" t="s">
        <v>12</v>
      </c>
    </row>
    <row r="7" spans="1:19" ht="15.65" x14ac:dyDescent="0.25">
      <c r="A7" s="3" t="s">
        <v>13</v>
      </c>
      <c r="B7" s="4">
        <v>17078</v>
      </c>
      <c r="C7" s="4">
        <v>5258</v>
      </c>
      <c r="D7" s="4">
        <v>18189</v>
      </c>
      <c r="E7" s="4">
        <v>5340</v>
      </c>
      <c r="F7" s="4">
        <v>19608</v>
      </c>
      <c r="G7" s="4">
        <v>5633</v>
      </c>
      <c r="H7" s="4">
        <v>23291</v>
      </c>
      <c r="I7" s="4">
        <v>6135</v>
      </c>
    </row>
    <row r="8" spans="1:19" ht="15.65" x14ac:dyDescent="0.25">
      <c r="A8" s="3" t="s">
        <v>14</v>
      </c>
      <c r="B8" s="4">
        <v>2482</v>
      </c>
      <c r="C8" s="4">
        <v>544</v>
      </c>
      <c r="D8" s="4">
        <v>2742</v>
      </c>
      <c r="E8" s="4">
        <v>669</v>
      </c>
      <c r="F8" s="4">
        <v>2751</v>
      </c>
      <c r="G8" s="4">
        <v>578</v>
      </c>
      <c r="H8" s="4">
        <v>3160</v>
      </c>
      <c r="I8" s="4">
        <v>604</v>
      </c>
    </row>
    <row r="9" spans="1:19" ht="15.65" x14ac:dyDescent="0.25">
      <c r="A9" s="3" t="s">
        <v>15</v>
      </c>
      <c r="B9" s="4">
        <v>21730</v>
      </c>
      <c r="C9" s="4">
        <v>2179</v>
      </c>
      <c r="D9" s="4">
        <v>22559</v>
      </c>
      <c r="E9" s="4">
        <v>1937</v>
      </c>
      <c r="F9" s="4">
        <v>25276</v>
      </c>
      <c r="G9" s="4">
        <v>2442</v>
      </c>
      <c r="H9" s="4">
        <v>26213</v>
      </c>
      <c r="I9" s="4">
        <v>5426</v>
      </c>
    </row>
    <row r="10" spans="1:19" ht="15.65" x14ac:dyDescent="0.25">
      <c r="A10" s="3" t="s">
        <v>16</v>
      </c>
      <c r="B10" s="4">
        <v>7573</v>
      </c>
      <c r="C10" s="4">
        <v>1141</v>
      </c>
      <c r="D10" s="4">
        <v>6942</v>
      </c>
      <c r="E10" s="4">
        <v>1033</v>
      </c>
      <c r="F10" s="4">
        <v>8108</v>
      </c>
      <c r="G10" s="4">
        <v>1369</v>
      </c>
      <c r="H10" s="4">
        <v>9776</v>
      </c>
      <c r="I10" s="4">
        <v>1627</v>
      </c>
    </row>
    <row r="11" spans="1:19" ht="15.65" x14ac:dyDescent="0.25">
      <c r="A11" s="3" t="s">
        <v>17</v>
      </c>
      <c r="B11" s="4">
        <v>11728</v>
      </c>
      <c r="C11" s="4">
        <v>1327</v>
      </c>
      <c r="D11" s="4">
        <v>11922</v>
      </c>
      <c r="E11" s="4">
        <v>1353</v>
      </c>
      <c r="F11" s="4">
        <v>13038</v>
      </c>
      <c r="G11" s="4">
        <v>1292</v>
      </c>
      <c r="H11" s="4">
        <v>12724</v>
      </c>
      <c r="I11" s="4">
        <v>-1380</v>
      </c>
    </row>
    <row r="12" spans="1:19" ht="15.65" x14ac:dyDescent="0.25">
      <c r="A12" s="3" t="s">
        <v>18</v>
      </c>
      <c r="B12" s="4">
        <v>3651</v>
      </c>
      <c r="C12" s="4">
        <v>671</v>
      </c>
      <c r="D12" s="4">
        <v>4573</v>
      </c>
      <c r="E12" s="4">
        <v>600</v>
      </c>
      <c r="F12" s="4">
        <v>6078</v>
      </c>
      <c r="G12" s="4">
        <v>858</v>
      </c>
      <c r="H12" s="4">
        <v>6438</v>
      </c>
      <c r="I12" s="4">
        <v>666</v>
      </c>
    </row>
    <row r="13" spans="1:19" ht="15.65" x14ac:dyDescent="0.25">
      <c r="A13" s="3" t="s">
        <v>19</v>
      </c>
      <c r="B13" s="4">
        <v>2919</v>
      </c>
      <c r="C13" s="4">
        <v>477</v>
      </c>
      <c r="D13" s="4">
        <v>3445</v>
      </c>
      <c r="E13" s="4">
        <v>590</v>
      </c>
      <c r="F13" s="4">
        <v>4615</v>
      </c>
      <c r="G13" s="4">
        <v>673</v>
      </c>
      <c r="H13" s="4">
        <v>4787</v>
      </c>
      <c r="I13" s="4">
        <v>537</v>
      </c>
    </row>
    <row r="14" spans="1:19" ht="15.65" x14ac:dyDescent="0.25">
      <c r="A14" s="3" t="s">
        <v>20</v>
      </c>
      <c r="B14" s="5">
        <f t="shared" ref="B14:I14" si="0">SUM(B7:B13)</f>
        <v>67161</v>
      </c>
      <c r="C14" s="5">
        <f t="shared" si="0"/>
        <v>11597</v>
      </c>
      <c r="D14" s="5">
        <f t="shared" si="0"/>
        <v>70372</v>
      </c>
      <c r="E14" s="5">
        <f t="shared" si="0"/>
        <v>11522</v>
      </c>
      <c r="F14" s="5">
        <f t="shared" si="0"/>
        <v>79474</v>
      </c>
      <c r="G14" s="5">
        <f t="shared" si="0"/>
        <v>12845</v>
      </c>
      <c r="H14" s="5">
        <f t="shared" si="0"/>
        <v>86389</v>
      </c>
      <c r="I14" s="5">
        <f t="shared" si="0"/>
        <v>13615</v>
      </c>
    </row>
    <row r="15" spans="1:19" ht="16.3" x14ac:dyDescent="0.3">
      <c r="A15" s="6"/>
      <c r="B15" s="6"/>
      <c r="C15" s="6"/>
      <c r="D15" s="6"/>
      <c r="E15" s="6"/>
      <c r="F15" s="6"/>
      <c r="G15" s="6"/>
      <c r="H15" s="6"/>
      <c r="I15" s="6"/>
    </row>
    <row r="16" spans="1:19" ht="16.3" x14ac:dyDescent="0.3">
      <c r="A16" s="9" t="s">
        <v>21</v>
      </c>
      <c r="B16" s="9"/>
      <c r="C16" s="9"/>
      <c r="D16" s="9"/>
      <c r="E16" s="9"/>
      <c r="F16" s="9"/>
      <c r="G16" s="9"/>
      <c r="H16" s="6"/>
      <c r="I16" s="6"/>
    </row>
    <row r="17" spans="1:9" ht="34.5" customHeight="1" x14ac:dyDescent="0.3">
      <c r="A17" s="8" t="s">
        <v>4</v>
      </c>
      <c r="B17" s="8" t="s">
        <v>22</v>
      </c>
      <c r="C17" s="8" t="s">
        <v>23</v>
      </c>
      <c r="D17" s="8" t="s">
        <v>24</v>
      </c>
      <c r="E17" s="8" t="s">
        <v>25</v>
      </c>
      <c r="F17" s="8" t="s">
        <v>26</v>
      </c>
      <c r="G17" s="8" t="s">
        <v>27</v>
      </c>
      <c r="H17" s="6"/>
      <c r="I17" s="6"/>
    </row>
    <row r="18" spans="1:9" ht="16.3" x14ac:dyDescent="0.3">
      <c r="A18" s="3" t="s">
        <v>28</v>
      </c>
      <c r="B18" s="4">
        <v>28015</v>
      </c>
      <c r="C18" s="4">
        <v>7247</v>
      </c>
      <c r="D18" s="4">
        <v>27431</v>
      </c>
      <c r="E18" s="4">
        <v>6619</v>
      </c>
      <c r="F18" s="4">
        <v>27528</v>
      </c>
      <c r="G18" s="4">
        <v>6173</v>
      </c>
      <c r="H18" s="6"/>
      <c r="I18" s="6"/>
    </row>
    <row r="19" spans="1:9" ht="16.3" x14ac:dyDescent="0.3">
      <c r="A19" s="3" t="s">
        <v>15</v>
      </c>
      <c r="B19" s="4">
        <v>27626</v>
      </c>
      <c r="C19" s="4">
        <v>2584</v>
      </c>
      <c r="D19" s="4">
        <v>27769</v>
      </c>
      <c r="E19" s="4">
        <v>2302</v>
      </c>
      <c r="F19" s="4">
        <v>28197</v>
      </c>
      <c r="G19" s="4">
        <v>1089</v>
      </c>
      <c r="H19" s="6"/>
      <c r="I19" s="6"/>
    </row>
    <row r="20" spans="1:9" ht="16.3" x14ac:dyDescent="0.3">
      <c r="A20" s="3" t="s">
        <v>29</v>
      </c>
      <c r="B20" s="4">
        <v>4559</v>
      </c>
      <c r="C20" s="4">
        <v>567</v>
      </c>
      <c r="D20" s="4">
        <v>4879</v>
      </c>
      <c r="E20" s="4">
        <v>1462</v>
      </c>
      <c r="F20" s="4">
        <v>4997</v>
      </c>
      <c r="G20" s="4">
        <v>1769</v>
      </c>
      <c r="H20" s="6"/>
      <c r="I20" s="6"/>
    </row>
    <row r="21" spans="1:9" ht="16.3" x14ac:dyDescent="0.3">
      <c r="A21" s="3" t="s">
        <v>30</v>
      </c>
      <c r="B21" s="4">
        <v>16210</v>
      </c>
      <c r="C21" s="4">
        <v>1764</v>
      </c>
      <c r="D21" s="4">
        <v>16658</v>
      </c>
      <c r="E21" s="4">
        <v>1971</v>
      </c>
      <c r="F21" s="4">
        <v>18025</v>
      </c>
      <c r="G21" s="4">
        <v>2106</v>
      </c>
      <c r="H21" s="6"/>
      <c r="I21" s="6"/>
    </row>
    <row r="22" spans="1:9" ht="16.3" x14ac:dyDescent="0.3">
      <c r="A22" s="3" t="s">
        <v>31</v>
      </c>
      <c r="B22" s="4">
        <v>10576</v>
      </c>
      <c r="C22" s="4">
        <v>1898</v>
      </c>
      <c r="D22" s="4">
        <v>10568</v>
      </c>
      <c r="E22" s="4">
        <v>2052</v>
      </c>
      <c r="F22" s="4">
        <v>10549</v>
      </c>
      <c r="G22" s="4">
        <v>2010</v>
      </c>
      <c r="H22" s="6"/>
      <c r="I22" s="6"/>
    </row>
    <row r="23" spans="1:9" ht="16.3" x14ac:dyDescent="0.3">
      <c r="A23" s="3" t="s">
        <v>32</v>
      </c>
      <c r="B23" s="4">
        <v>4485</v>
      </c>
      <c r="C23" s="4">
        <v>301</v>
      </c>
      <c r="D23" s="4">
        <v>4549</v>
      </c>
      <c r="E23" s="4">
        <v>377</v>
      </c>
      <c r="F23" s="4">
        <v>4629</v>
      </c>
      <c r="G23" s="4">
        <v>369</v>
      </c>
      <c r="H23" s="6"/>
      <c r="I23" s="6"/>
    </row>
    <row r="24" spans="1:9" ht="16.3" x14ac:dyDescent="0.3">
      <c r="A24" s="3" t="s">
        <v>20</v>
      </c>
      <c r="B24" s="5">
        <f t="shared" ref="B24:G24" si="1">SUM(B18:B23)</f>
        <v>91471</v>
      </c>
      <c r="C24" s="5">
        <f t="shared" si="1"/>
        <v>14361</v>
      </c>
      <c r="D24" s="5">
        <f t="shared" si="1"/>
        <v>91854</v>
      </c>
      <c r="E24" s="5">
        <f t="shared" si="1"/>
        <v>14783</v>
      </c>
      <c r="F24" s="5">
        <f t="shared" si="1"/>
        <v>93925</v>
      </c>
      <c r="G24" s="5">
        <f t="shared" si="1"/>
        <v>13516</v>
      </c>
      <c r="H24" s="6"/>
      <c r="I24" s="6"/>
    </row>
  </sheetData>
  <mergeCells count="5">
    <mergeCell ref="A1:S1"/>
    <mergeCell ref="A2:S2"/>
    <mergeCell ref="A3:S3"/>
    <mergeCell ref="A5:I5"/>
    <mergeCell ref="A16:G16"/>
  </mergeCells>
  <conditionalFormatting sqref="A7:I24">
    <cfRule type="cellIs" dxfId="0" priority="1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tabSelected="1" zoomScaleNormal="100" workbookViewId="0">
      <selection activeCell="E14" sqref="E14"/>
    </sheetView>
  </sheetViews>
  <sheetFormatPr defaultColWidth="8.625" defaultRowHeight="14.3" x14ac:dyDescent="0.25"/>
  <cols>
    <col min="1" max="1" width="22" customWidth="1"/>
    <col min="2" max="5" width="14" customWidth="1"/>
  </cols>
  <sheetData>
    <row r="1" spans="1:9" ht="23.8" x14ac:dyDescent="0.4">
      <c r="A1" s="2" t="s">
        <v>33</v>
      </c>
      <c r="B1" s="2"/>
      <c r="C1" s="2"/>
      <c r="D1" s="2"/>
      <c r="E1" s="2"/>
      <c r="F1" s="2"/>
      <c r="G1" s="2"/>
      <c r="H1" s="2"/>
      <c r="I1" s="2"/>
    </row>
    <row r="2" spans="1:9" ht="16.3" x14ac:dyDescent="0.3">
      <c r="A2" s="1" t="s">
        <v>34</v>
      </c>
      <c r="B2" s="1"/>
      <c r="C2" s="1"/>
      <c r="D2" s="1"/>
      <c r="E2" s="1"/>
      <c r="F2" s="1"/>
      <c r="G2" s="1"/>
      <c r="H2" s="1"/>
      <c r="I2" s="1"/>
    </row>
    <row r="4" spans="1:9" ht="15.65" x14ac:dyDescent="0.25">
      <c r="A4" s="9" t="s">
        <v>3</v>
      </c>
      <c r="B4" s="9"/>
      <c r="C4" s="9"/>
      <c r="D4" s="9"/>
      <c r="E4" s="9"/>
    </row>
    <row r="5" spans="1:9" ht="34.5" customHeight="1" x14ac:dyDescent="0.25">
      <c r="A5" s="8" t="s">
        <v>4</v>
      </c>
      <c r="B5" s="8" t="s">
        <v>35</v>
      </c>
      <c r="C5" s="8" t="s">
        <v>36</v>
      </c>
      <c r="D5" s="8" t="s">
        <v>37</v>
      </c>
      <c r="E5" s="8" t="s">
        <v>38</v>
      </c>
    </row>
    <row r="6" spans="1:9" ht="15.65" x14ac:dyDescent="0.25">
      <c r="A6" s="3" t="s">
        <v>13</v>
      </c>
      <c r="B6" s="7">
        <f>'Segment Data'!C7/'Segment Data'!B7</f>
        <v>0.30788148495139944</v>
      </c>
      <c r="C6" s="7">
        <f>'Segment Data'!E7/'Segment Data'!D7</f>
        <v>0.29358403430644897</v>
      </c>
      <c r="D6" s="7">
        <f>'Segment Data'!G7/'Segment Data'!F7</f>
        <v>0.28728070175438597</v>
      </c>
      <c r="E6" s="7">
        <f>'Segment Data'!I7/'Segment Data'!H7</f>
        <v>0.26340646601691642</v>
      </c>
    </row>
    <row r="7" spans="1:9" ht="15.65" x14ac:dyDescent="0.25">
      <c r="A7" s="3" t="s">
        <v>14</v>
      </c>
      <c r="B7" s="7">
        <f>'Segment Data'!C8/'Segment Data'!B8</f>
        <v>0.21917808219178081</v>
      </c>
      <c r="C7" s="7">
        <f>'Segment Data'!E8/'Segment Data'!D8</f>
        <v>0.24398249452954049</v>
      </c>
      <c r="D7" s="7">
        <f>'Segment Data'!G8/'Segment Data'!F8</f>
        <v>0.21010541621228643</v>
      </c>
      <c r="E7" s="7">
        <f>'Segment Data'!I8/'Segment Data'!H8</f>
        <v>0.19113924050632911</v>
      </c>
    </row>
    <row r="8" spans="1:9" ht="15.65" x14ac:dyDescent="0.25">
      <c r="A8" s="3" t="s">
        <v>15</v>
      </c>
      <c r="B8" s="7">
        <f>'Segment Data'!C9/'Segment Data'!B9</f>
        <v>0.10027611596870686</v>
      </c>
      <c r="C8" s="7">
        <f>'Segment Data'!E9/'Segment Data'!D9</f>
        <v>8.5863735094640722E-2</v>
      </c>
      <c r="D8" s="7">
        <f>'Segment Data'!G9/'Segment Data'!F9</f>
        <v>9.6613388194334543E-2</v>
      </c>
      <c r="E8" s="7">
        <f>'Segment Data'!I9/'Segment Data'!H9</f>
        <v>0.20699652844008698</v>
      </c>
    </row>
    <row r="9" spans="1:9" ht="15.65" x14ac:dyDescent="0.25">
      <c r="A9" s="3" t="s">
        <v>16</v>
      </c>
      <c r="B9" s="7">
        <f>'Segment Data'!C10/'Segment Data'!B10</f>
        <v>0.15066684273075401</v>
      </c>
      <c r="C9" s="7">
        <f>'Segment Data'!E10/'Segment Data'!D10</f>
        <v>0.1488043791414578</v>
      </c>
      <c r="D9" s="7">
        <f>'Segment Data'!G10/'Segment Data'!F10</f>
        <v>0.16884558460779478</v>
      </c>
      <c r="E9" s="7">
        <f>'Segment Data'!I10/'Segment Data'!H10</f>
        <v>0.16642798690671032</v>
      </c>
    </row>
    <row r="10" spans="1:9" ht="15.65" x14ac:dyDescent="0.25">
      <c r="A10" s="3" t="s">
        <v>17</v>
      </c>
      <c r="B10" s="7">
        <f>'Segment Data'!C11/'Segment Data'!B11</f>
        <v>0.11314802182810368</v>
      </c>
      <c r="C10" s="7">
        <f>'Segment Data'!E11/'Segment Data'!D11</f>
        <v>0.11348766985405133</v>
      </c>
      <c r="D10" s="7">
        <f>'Segment Data'!G11/'Segment Data'!F11</f>
        <v>9.9094953213683085E-2</v>
      </c>
      <c r="E10" s="7">
        <f>'Segment Data'!I11/'Segment Data'!H11</f>
        <v>-0.10845646023263125</v>
      </c>
    </row>
    <row r="11" spans="1:9" ht="15.65" x14ac:dyDescent="0.25">
      <c r="A11" s="3" t="s">
        <v>18</v>
      </c>
      <c r="B11" s="7">
        <f>'Segment Data'!C12/'Segment Data'!B12</f>
        <v>0.18378526431114764</v>
      </c>
      <c r="C11" s="7">
        <f>'Segment Data'!E12/'Segment Data'!D12</f>
        <v>0.1312048983162038</v>
      </c>
      <c r="D11" s="7">
        <f>'Segment Data'!G12/'Segment Data'!F12</f>
        <v>0.14116485686080948</v>
      </c>
      <c r="E11" s="7">
        <f>'Segment Data'!I12/'Segment Data'!H12</f>
        <v>0.10344827586206896</v>
      </c>
    </row>
    <row r="12" spans="1:9" ht="15.65" x14ac:dyDescent="0.25">
      <c r="A12" s="3" t="s">
        <v>19</v>
      </c>
      <c r="B12" s="7">
        <f>'Segment Data'!C13/'Segment Data'!B13</f>
        <v>0.16341212744090441</v>
      </c>
      <c r="C12" s="7">
        <f>'Segment Data'!E13/'Segment Data'!D13</f>
        <v>0.17126269956458637</v>
      </c>
      <c r="D12" s="7">
        <f>'Segment Data'!G13/'Segment Data'!F13</f>
        <v>0.14582881906825568</v>
      </c>
      <c r="E12" s="7">
        <f>'Segment Data'!I13/'Segment Data'!H13</f>
        <v>0.11217881763108419</v>
      </c>
    </row>
    <row r="13" spans="1:9" ht="16.3" x14ac:dyDescent="0.3">
      <c r="A13" s="6"/>
      <c r="B13" s="6"/>
      <c r="C13" s="6"/>
      <c r="D13" s="6"/>
      <c r="E13" s="6"/>
    </row>
    <row r="14" spans="1:9" ht="16.3" x14ac:dyDescent="0.3">
      <c r="A14" s="9" t="s">
        <v>39</v>
      </c>
      <c r="B14" s="9"/>
      <c r="C14" s="9"/>
      <c r="D14" s="9"/>
      <c r="E14" s="6"/>
    </row>
    <row r="15" spans="1:9" ht="34.5" customHeight="1" x14ac:dyDescent="0.3">
      <c r="A15" s="8" t="s">
        <v>4</v>
      </c>
      <c r="B15" s="8" t="s">
        <v>40</v>
      </c>
      <c r="C15" s="8" t="s">
        <v>41</v>
      </c>
      <c r="D15" s="8" t="s">
        <v>42</v>
      </c>
      <c r="E15" s="6"/>
    </row>
    <row r="16" spans="1:9" ht="16.3" x14ac:dyDescent="0.3">
      <c r="A16" s="3" t="s">
        <v>28</v>
      </c>
      <c r="B16" s="7">
        <f>'Segment Data'!C18/'Segment Data'!B18</f>
        <v>0.25868284847403178</v>
      </c>
      <c r="C16" s="7">
        <f>'Segment Data'!E18/'Segment Data'!D18</f>
        <v>0.2412963435529146</v>
      </c>
      <c r="D16" s="7">
        <f>'Segment Data'!G18/'Segment Data'!F18</f>
        <v>0.22424440569601861</v>
      </c>
      <c r="E16" s="6"/>
    </row>
    <row r="17" spans="1:5" ht="16.3" x14ac:dyDescent="0.3">
      <c r="A17" s="3" t="s">
        <v>15</v>
      </c>
      <c r="B17" s="7">
        <f>'Segment Data'!C19/'Segment Data'!B19</f>
        <v>9.353507565337002E-2</v>
      </c>
      <c r="C17" s="7">
        <f>'Segment Data'!E19/'Segment Data'!D19</f>
        <v>8.289819582988224E-2</v>
      </c>
      <c r="D17" s="7">
        <f>'Segment Data'!G19/'Segment Data'!F19</f>
        <v>3.8621129907436963E-2</v>
      </c>
      <c r="E17" s="6"/>
    </row>
    <row r="18" spans="1:5" ht="16.3" x14ac:dyDescent="0.3">
      <c r="A18" s="3" t="s">
        <v>29</v>
      </c>
      <c r="B18" s="7">
        <f>'Segment Data'!C20/'Segment Data'!B20</f>
        <v>0.12436937924983549</v>
      </c>
      <c r="C18" s="7">
        <f>'Segment Data'!E20/'Segment Data'!D20</f>
        <v>0.29965156794425085</v>
      </c>
      <c r="D18" s="7">
        <f>'Segment Data'!G20/'Segment Data'!F20</f>
        <v>0.35401240744446666</v>
      </c>
      <c r="E18" s="6"/>
    </row>
    <row r="19" spans="1:5" ht="16.3" x14ac:dyDescent="0.3">
      <c r="A19" s="3" t="s">
        <v>30</v>
      </c>
      <c r="B19" s="7">
        <f>'Segment Data'!C21/'Segment Data'!B21</f>
        <v>0.10882171499074646</v>
      </c>
      <c r="C19" s="7">
        <f>'Segment Data'!E21/'Segment Data'!D21</f>
        <v>0.11832152719414095</v>
      </c>
      <c r="D19" s="7">
        <f>'Segment Data'!G21/'Segment Data'!F21</f>
        <v>0.11683772538141469</v>
      </c>
      <c r="E19" s="6"/>
    </row>
    <row r="20" spans="1:5" ht="16.3" x14ac:dyDescent="0.3">
      <c r="A20" s="3" t="s">
        <v>31</v>
      </c>
      <c r="B20" s="7">
        <f>'Segment Data'!C22/'Segment Data'!B22</f>
        <v>0.17946293494704993</v>
      </c>
      <c r="C20" s="7">
        <f>'Segment Data'!E22/'Segment Data'!D22</f>
        <v>0.19417108251324755</v>
      </c>
      <c r="D20" s="7">
        <f>'Segment Data'!G22/'Segment Data'!F22</f>
        <v>0.19053938761967959</v>
      </c>
      <c r="E20" s="6"/>
    </row>
    <row r="21" spans="1:5" ht="16.3" x14ac:dyDescent="0.3">
      <c r="A21" s="3" t="s">
        <v>32</v>
      </c>
      <c r="B21" s="7">
        <f>'Segment Data'!C23/'Segment Data'!B23</f>
        <v>6.7112597547380151E-2</v>
      </c>
      <c r="C21" s="7">
        <f>'Segment Data'!E23/'Segment Data'!D23</f>
        <v>8.2875357221367338E-2</v>
      </c>
      <c r="D21" s="7">
        <f>'Segment Data'!G23/'Segment Data'!F23</f>
        <v>7.9714841218405705E-2</v>
      </c>
      <c r="E21" s="6"/>
    </row>
  </sheetData>
  <mergeCells count="4">
    <mergeCell ref="A1:I1"/>
    <mergeCell ref="A2:I2"/>
    <mergeCell ref="A4:E4"/>
    <mergeCell ref="A14:D14"/>
  </mergeCells>
  <conditionalFormatting sqref="A6:E21">
    <cfRule type="cellIs" dxfId="1" priority="1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Segment Data</vt:lpstr>
      <vt:lpstr>Segment Margins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fatiha Okesola</cp:lastModifiedBy>
  <cp:revision>0</cp:revision>
  <dcterms:created xsi:type="dcterms:W3CDTF">2026-07-28T01:39:38Z</dcterms:created>
  <dcterms:modified xsi:type="dcterms:W3CDTF">2026-07-28T01:58:30Z</dcterms:modified>
  <dc:language>en-US</dc:language>
</cp:coreProperties>
</file>