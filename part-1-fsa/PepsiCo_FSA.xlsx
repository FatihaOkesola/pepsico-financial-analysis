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84" yWindow="384" windowWidth="17280" windowHeight="9960" tabRatio="500" firstSheet="0" activeTab="2" autoFilterDateGrouping="1"/>
  </bookViews>
  <sheets>
    <sheet xmlns:r="http://schemas.openxmlformats.org/officeDocument/2006/relationships" name="Segment Data" sheetId="1" state="visible" r:id="rId1"/>
    <sheet xmlns:r="http://schemas.openxmlformats.org/officeDocument/2006/relationships" name="Segment Margins" sheetId="2" state="visible" r:id="rId2"/>
    <sheet xmlns:r="http://schemas.openxmlformats.org/officeDocument/2006/relationships" name="Raw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0.0%;\(0.0%\);\-"/>
  </numFmts>
  <fonts count="10">
    <font>
      <name val="Calibri"/>
      <charset val="1"/>
      <family val="2"/>
      <color theme="1"/>
      <sz val="11"/>
    </font>
    <font>
      <name val="Arial"/>
      <family val="2"/>
      <i val="1"/>
      <color rgb="FF666666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color rgb="FFFFFFFF"/>
      <sz val="12"/>
    </font>
    <font>
      <name val="Arial"/>
      <family val="2"/>
      <color rgb="FF0000FF"/>
      <sz val="12"/>
    </font>
    <font>
      <name val="Calibri"/>
      <charset val="1"/>
      <family val="2"/>
      <color theme="1"/>
      <sz val="12"/>
    </font>
    <font>
      <name val="Arial"/>
      <family val="2"/>
      <color rgb="FF008000"/>
      <sz val="12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003087"/>
        <bgColor rgb="FF333333"/>
      </patternFill>
    </fill>
    <fill>
      <patternFill patternType="solid">
        <fgColor rgb="FF00A3E0"/>
        <bgColor rgb="FFCCCC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pivotButton="0" quotePrefix="0" xfId="0"/>
    <xf numFmtId="165" fontId="7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9" fillId="0" borderId="3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Normal="100" workbookViewId="0">
      <selection activeCell="I20" sqref="I20"/>
    </sheetView>
  </sheetViews>
  <sheetFormatPr baseColWidth="8" defaultColWidth="8.6640625" defaultRowHeight="14.4"/>
  <cols>
    <col width="22" customWidth="1" style="9" min="1" max="1"/>
    <col width="14" customWidth="1" style="9" min="2" max="9"/>
  </cols>
  <sheetData>
    <row r="1" ht="23.85" customHeight="1" s="9">
      <c r="A1" s="8" t="inlineStr">
        <is>
          <t>PepsiCo Segment Revenue and Operating Profit ($ millions)</t>
        </is>
      </c>
    </row>
    <row r="2" ht="16.35" customHeight="1" s="9">
      <c r="A2" s="11" t="inlineStr">
        <is>
          <t>Source: PepsiCo Annual Reports (10-K), SEC EDGAR, FY2019–FY2025</t>
        </is>
      </c>
    </row>
    <row r="3" ht="16.35" customHeight="1" s="9">
      <c r="A3" s="11" t="inlineStr">
        <is>
          <t>Note: Blue values are hardcoded from filings. 2019–2022 use the original 7-segment structure. 2023–2025 use the recast 6-segment structure effective Q1 2025.</t>
        </is>
      </c>
    </row>
    <row r="5" ht="15.6" customHeight="1" s="9">
      <c r="A5" s="10" t="inlineStr">
        <is>
          <t>2019–2022: Original Seven-Segment Structure</t>
        </is>
      </c>
    </row>
    <row r="6" ht="34.5" customHeight="1" s="9">
      <c r="A6" s="6" t="inlineStr">
        <is>
          <t>Segment</t>
        </is>
      </c>
      <c r="B6" s="6" t="inlineStr">
        <is>
          <t>2019 Revenue</t>
        </is>
      </c>
      <c r="C6" s="6" t="inlineStr">
        <is>
          <t>2019 Op Profit</t>
        </is>
      </c>
      <c r="D6" s="6" t="inlineStr">
        <is>
          <t>2020 Revenue</t>
        </is>
      </c>
      <c r="E6" s="6" t="inlineStr">
        <is>
          <t>2020 Op Profit</t>
        </is>
      </c>
      <c r="F6" s="6" t="inlineStr">
        <is>
          <t>2021 Revenue</t>
        </is>
      </c>
      <c r="G6" s="6" t="inlineStr">
        <is>
          <t>2021 Op Profit</t>
        </is>
      </c>
      <c r="H6" s="6" t="inlineStr">
        <is>
          <t>2022 Revenue</t>
        </is>
      </c>
      <c r="I6" s="6" t="inlineStr">
        <is>
          <t>2022 Op Profit</t>
        </is>
      </c>
    </row>
    <row r="7" ht="15.6" customHeight="1" s="9">
      <c r="A7" s="1" t="inlineStr">
        <is>
          <t>FLNA</t>
        </is>
      </c>
      <c r="B7" s="2" t="n">
        <v>17078</v>
      </c>
      <c r="C7" s="2" t="n">
        <v>5258</v>
      </c>
      <c r="D7" s="2" t="n">
        <v>18189</v>
      </c>
      <c r="E7" s="2" t="n">
        <v>5340</v>
      </c>
      <c r="F7" s="2" t="n">
        <v>19608</v>
      </c>
      <c r="G7" s="2" t="n">
        <v>5633</v>
      </c>
      <c r="H7" s="2" t="n">
        <v>23291</v>
      </c>
      <c r="I7" s="2" t="n">
        <v>6135</v>
      </c>
    </row>
    <row r="8" ht="15.6" customHeight="1" s="9">
      <c r="A8" s="1" t="inlineStr">
        <is>
          <t>QFNA</t>
        </is>
      </c>
      <c r="B8" s="2" t="n">
        <v>2482</v>
      </c>
      <c r="C8" s="2" t="n">
        <v>544</v>
      </c>
      <c r="D8" s="2" t="n">
        <v>2742</v>
      </c>
      <c r="E8" s="2" t="n">
        <v>669</v>
      </c>
      <c r="F8" s="2" t="n">
        <v>2751</v>
      </c>
      <c r="G8" s="2" t="n">
        <v>578</v>
      </c>
      <c r="H8" s="2" t="n">
        <v>3160</v>
      </c>
      <c r="I8" s="2" t="n">
        <v>604</v>
      </c>
    </row>
    <row r="9" ht="15.6" customHeight="1" s="9">
      <c r="A9" s="1" t="inlineStr">
        <is>
          <t>PBNA</t>
        </is>
      </c>
      <c r="B9" s="2" t="n">
        <v>21730</v>
      </c>
      <c r="C9" s="2" t="n">
        <v>2179</v>
      </c>
      <c r="D9" s="2" t="n">
        <v>22559</v>
      </c>
      <c r="E9" s="2" t="n">
        <v>1937</v>
      </c>
      <c r="F9" s="2" t="n">
        <v>25276</v>
      </c>
      <c r="G9" s="2" t="n">
        <v>2442</v>
      </c>
      <c r="H9" s="2" t="n">
        <v>26213</v>
      </c>
      <c r="I9" s="2" t="n">
        <v>5426</v>
      </c>
    </row>
    <row r="10" ht="15.6" customHeight="1" s="9">
      <c r="A10" s="1" t="inlineStr">
        <is>
          <t>LatAm</t>
        </is>
      </c>
      <c r="B10" s="2" t="n">
        <v>7573</v>
      </c>
      <c r="C10" s="2" t="n">
        <v>1141</v>
      </c>
      <c r="D10" s="2" t="n">
        <v>6942</v>
      </c>
      <c r="E10" s="2" t="n">
        <v>1033</v>
      </c>
      <c r="F10" s="2" t="n">
        <v>8108</v>
      </c>
      <c r="G10" s="2" t="n">
        <v>1369</v>
      </c>
      <c r="H10" s="2" t="n">
        <v>9776</v>
      </c>
      <c r="I10" s="2" t="n">
        <v>1627</v>
      </c>
    </row>
    <row r="11" ht="15.6" customHeight="1" s="9">
      <c r="A11" s="1" t="inlineStr">
        <is>
          <t>Europe</t>
        </is>
      </c>
      <c r="B11" s="2" t="n">
        <v>11728</v>
      </c>
      <c r="C11" s="2" t="n">
        <v>1327</v>
      </c>
      <c r="D11" s="2" t="n">
        <v>11922</v>
      </c>
      <c r="E11" s="2" t="n">
        <v>1353</v>
      </c>
      <c r="F11" s="2" t="n">
        <v>13038</v>
      </c>
      <c r="G11" s="2" t="n">
        <v>1292</v>
      </c>
      <c r="H11" s="2" t="n">
        <v>12724</v>
      </c>
      <c r="I11" s="2" t="n">
        <v>-1380</v>
      </c>
    </row>
    <row r="12" ht="15.6" customHeight="1" s="9">
      <c r="A12" s="1" t="inlineStr">
        <is>
          <t>AMESA</t>
        </is>
      </c>
      <c r="B12" s="2" t="n">
        <v>3651</v>
      </c>
      <c r="C12" s="2" t="n">
        <v>671</v>
      </c>
      <c r="D12" s="2" t="n">
        <v>4573</v>
      </c>
      <c r="E12" s="2" t="n">
        <v>600</v>
      </c>
      <c r="F12" s="2" t="n">
        <v>6078</v>
      </c>
      <c r="G12" s="2" t="n">
        <v>858</v>
      </c>
      <c r="H12" s="2" t="n">
        <v>6438</v>
      </c>
      <c r="I12" s="2" t="n">
        <v>666</v>
      </c>
    </row>
    <row r="13" ht="15.6" customHeight="1" s="9">
      <c r="A13" s="1" t="inlineStr">
        <is>
          <t>APAC</t>
        </is>
      </c>
      <c r="B13" s="2" t="n">
        <v>2919</v>
      </c>
      <c r="C13" s="2" t="n">
        <v>477</v>
      </c>
      <c r="D13" s="2" t="n">
        <v>3445</v>
      </c>
      <c r="E13" s="2" t="n">
        <v>590</v>
      </c>
      <c r="F13" s="2" t="n">
        <v>4615</v>
      </c>
      <c r="G13" s="2" t="n">
        <v>673</v>
      </c>
      <c r="H13" s="2" t="n">
        <v>4787</v>
      </c>
      <c r="I13" s="2" t="n">
        <v>537</v>
      </c>
    </row>
    <row r="14" ht="15.6" customHeight="1" s="9">
      <c r="A14" s="1" t="inlineStr">
        <is>
          <t>Total</t>
        </is>
      </c>
      <c r="B14" s="3">
        <f>SUM(B7:B13)</f>
        <v/>
      </c>
      <c r="C14" s="3">
        <f>SUM(C7:C13)</f>
        <v/>
      </c>
      <c r="D14" s="3">
        <f>SUM(D7:D13)</f>
        <v/>
      </c>
      <c r="E14" s="3">
        <f>SUM(E7:E13)</f>
        <v/>
      </c>
      <c r="F14" s="3">
        <f>SUM(F7:F13)</f>
        <v/>
      </c>
      <c r="G14" s="3">
        <f>SUM(G7:G13)</f>
        <v/>
      </c>
      <c r="H14" s="3">
        <f>SUM(H7:H13)</f>
        <v/>
      </c>
      <c r="I14" s="3">
        <f>SUM(I7:I13)</f>
        <v/>
      </c>
    </row>
    <row r="15" ht="16.35" customHeight="1" s="9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16.35" customHeight="1" s="9">
      <c r="A16" s="10" t="inlineStr">
        <is>
          <t>2023–2025: Recast Six-Segment Structure (effective Q1 2025)</t>
        </is>
      </c>
      <c r="H16" s="4" t="n"/>
      <c r="I16" s="4" t="n"/>
    </row>
    <row r="17" ht="34.5" customHeight="1" s="9">
      <c r="A17" s="6" t="inlineStr">
        <is>
          <t>Segment</t>
        </is>
      </c>
      <c r="B17" s="6" t="inlineStr">
        <is>
          <t>2023 Revenue</t>
        </is>
      </c>
      <c r="C17" s="6" t="inlineStr">
        <is>
          <t>2023 Op Profit</t>
        </is>
      </c>
      <c r="D17" s="6" t="inlineStr">
        <is>
          <t>2024 Revenue</t>
        </is>
      </c>
      <c r="E17" s="6" t="inlineStr">
        <is>
          <t>2024 Op Profit</t>
        </is>
      </c>
      <c r="F17" s="6" t="inlineStr">
        <is>
          <t>2025 Revenue</t>
        </is>
      </c>
      <c r="G17" s="6" t="inlineStr">
        <is>
          <t>2025 Op Profit</t>
        </is>
      </c>
      <c r="H17" s="4" t="n"/>
      <c r="I17" s="4" t="n"/>
    </row>
    <row r="18" ht="16.35" customHeight="1" s="9">
      <c r="A18" s="1" t="inlineStr">
        <is>
          <t>PFNA</t>
        </is>
      </c>
      <c r="B18" s="2" t="n">
        <v>28015</v>
      </c>
      <c r="C18" s="2" t="n">
        <v>7247</v>
      </c>
      <c r="D18" s="2" t="n">
        <v>27431</v>
      </c>
      <c r="E18" s="2" t="n">
        <v>6619</v>
      </c>
      <c r="F18" s="2" t="n">
        <v>27528</v>
      </c>
      <c r="G18" s="2" t="n">
        <v>6173</v>
      </c>
      <c r="H18" s="4" t="n"/>
      <c r="I18" s="4" t="n"/>
    </row>
    <row r="19" ht="16.35" customHeight="1" s="9">
      <c r="A19" s="1" t="inlineStr">
        <is>
          <t>PBNA</t>
        </is>
      </c>
      <c r="B19" s="2" t="n">
        <v>27626</v>
      </c>
      <c r="C19" s="2" t="n">
        <v>2584</v>
      </c>
      <c r="D19" s="2" t="n">
        <v>27769</v>
      </c>
      <c r="E19" s="2" t="n">
        <v>2302</v>
      </c>
      <c r="F19" s="2" t="n">
        <v>28197</v>
      </c>
      <c r="G19" s="2" t="n">
        <v>1089</v>
      </c>
      <c r="H19" s="4" t="n"/>
      <c r="I19" s="4" t="n"/>
    </row>
    <row r="20" ht="16.35" customHeight="1" s="9">
      <c r="A20" s="1" t="inlineStr">
        <is>
          <t>IB Franchise</t>
        </is>
      </c>
      <c r="B20" s="2" t="n">
        <v>4559</v>
      </c>
      <c r="C20" s="2" t="n">
        <v>567</v>
      </c>
      <c r="D20" s="2" t="n">
        <v>4879</v>
      </c>
      <c r="E20" s="2" t="n">
        <v>1462</v>
      </c>
      <c r="F20" s="2" t="n">
        <v>4997</v>
      </c>
      <c r="G20" s="2" t="n">
        <v>1769</v>
      </c>
      <c r="H20" s="4" t="n"/>
      <c r="I20" s="4" t="n"/>
    </row>
    <row r="21" ht="16.35" customHeight="1" s="9">
      <c r="A21" s="1" t="inlineStr">
        <is>
          <t>EMEA</t>
        </is>
      </c>
      <c r="B21" s="2" t="n">
        <v>16210</v>
      </c>
      <c r="C21" s="2" t="n">
        <v>1764</v>
      </c>
      <c r="D21" s="2" t="n">
        <v>16658</v>
      </c>
      <c r="E21" s="2" t="n">
        <v>1971</v>
      </c>
      <c r="F21" s="2" t="n">
        <v>18025</v>
      </c>
      <c r="G21" s="2" t="n">
        <v>2106</v>
      </c>
      <c r="H21" s="4" t="n"/>
      <c r="I21" s="4" t="n"/>
    </row>
    <row r="22" ht="16.35" customHeight="1" s="9">
      <c r="A22" s="1" t="inlineStr">
        <is>
          <t>LatAm Foods</t>
        </is>
      </c>
      <c r="B22" s="2" t="n">
        <v>10576</v>
      </c>
      <c r="C22" s="2" t="n">
        <v>1898</v>
      </c>
      <c r="D22" s="2" t="n">
        <v>10568</v>
      </c>
      <c r="E22" s="2" t="n">
        <v>2052</v>
      </c>
      <c r="F22" s="2" t="n">
        <v>10549</v>
      </c>
      <c r="G22" s="2" t="n">
        <v>2010</v>
      </c>
      <c r="H22" s="4" t="n"/>
      <c r="I22" s="4" t="n"/>
    </row>
    <row r="23" ht="16.35" customHeight="1" s="9">
      <c r="A23" s="1" t="inlineStr">
        <is>
          <t>Asia Pacific Foods</t>
        </is>
      </c>
      <c r="B23" s="2" t="n">
        <v>4485</v>
      </c>
      <c r="C23" s="2" t="n">
        <v>301</v>
      </c>
      <c r="D23" s="2" t="n">
        <v>4549</v>
      </c>
      <c r="E23" s="2" t="n">
        <v>377</v>
      </c>
      <c r="F23" s="2" t="n">
        <v>4629</v>
      </c>
      <c r="G23" s="2" t="n">
        <v>369</v>
      </c>
      <c r="H23" s="4" t="n"/>
      <c r="I23" s="4" t="n"/>
    </row>
    <row r="24" ht="16.35" customHeight="1" s="9">
      <c r="A24" s="1" t="inlineStr">
        <is>
          <t>Total</t>
        </is>
      </c>
      <c r="B24" s="3">
        <f>SUM(B18:B23)</f>
        <v/>
      </c>
      <c r="C24" s="3">
        <f>SUM(C18:C23)</f>
        <v/>
      </c>
      <c r="D24" s="3">
        <f>SUM(D18:D23)</f>
        <v/>
      </c>
      <c r="E24" s="3">
        <f>SUM(E18:E23)</f>
        <v/>
      </c>
      <c r="F24" s="3">
        <f>SUM(F18:F23)</f>
        <v/>
      </c>
      <c r="G24" s="3">
        <f>SUM(G18:G23)</f>
        <v/>
      </c>
      <c r="H24" s="4" t="n"/>
      <c r="I24" s="4" t="n"/>
    </row>
  </sheetData>
  <mergeCells count="5">
    <mergeCell ref="A5:I5"/>
    <mergeCell ref="A1:S1"/>
    <mergeCell ref="A16:G16"/>
    <mergeCell ref="A3:S3"/>
    <mergeCell ref="A2:S2"/>
  </mergeCells>
  <conditionalFormatting sqref="A7:I24">
    <cfRule type="cellIs" priority="1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Normal="100" workbookViewId="0">
      <selection activeCell="E14" sqref="E14"/>
    </sheetView>
  </sheetViews>
  <sheetFormatPr baseColWidth="8" defaultColWidth="8.6640625" defaultRowHeight="14.4"/>
  <cols>
    <col width="22" customWidth="1" style="9" min="1" max="1"/>
    <col width="14" customWidth="1" style="9" min="2" max="5"/>
  </cols>
  <sheetData>
    <row r="1" ht="23.85" customHeight="1" s="9">
      <c r="A1" s="8" t="inlineStr">
        <is>
          <t>PepsiCo Segment Operating Margins (%)</t>
        </is>
      </c>
    </row>
    <row r="2" ht="16.35" customHeight="1" s="9">
      <c r="A2" s="11" t="inlineStr">
        <is>
          <t>Operating Margin = Operating Profit / Revenue. Calculated from Segment Data sheet.</t>
        </is>
      </c>
    </row>
    <row r="4" ht="15.6" customHeight="1" s="9">
      <c r="A4" s="10" t="inlineStr">
        <is>
          <t>2019–2022: Original Seven-Segment Structure</t>
        </is>
      </c>
    </row>
    <row r="5" ht="34.5" customHeight="1" s="9">
      <c r="A5" s="6" t="inlineStr">
        <is>
          <t>Segment</t>
        </is>
      </c>
      <c r="B5" s="6" t="inlineStr">
        <is>
          <t>2019 Margin</t>
        </is>
      </c>
      <c r="C5" s="6" t="inlineStr">
        <is>
          <t>2020 Margin</t>
        </is>
      </c>
      <c r="D5" s="6" t="inlineStr">
        <is>
          <t>2021 Margin</t>
        </is>
      </c>
      <c r="E5" s="6" t="inlineStr">
        <is>
          <t>2022 Margin</t>
        </is>
      </c>
    </row>
    <row r="6" ht="15.6" customHeight="1" s="9">
      <c r="A6" s="1" t="inlineStr">
        <is>
          <t>FLNA</t>
        </is>
      </c>
      <c r="B6" s="5">
        <f>'Segment Data'!C7/'Segment Data'!B7</f>
        <v/>
      </c>
      <c r="C6" s="5">
        <f>'Segment Data'!E7/'Segment Data'!D7</f>
        <v/>
      </c>
      <c r="D6" s="5">
        <f>'Segment Data'!G7/'Segment Data'!F7</f>
        <v/>
      </c>
      <c r="E6" s="5">
        <f>'Segment Data'!I7/'Segment Data'!H7</f>
        <v/>
      </c>
    </row>
    <row r="7" ht="15.6" customHeight="1" s="9">
      <c r="A7" s="1" t="inlineStr">
        <is>
          <t>QFNA</t>
        </is>
      </c>
      <c r="B7" s="5">
        <f>'Segment Data'!C8/'Segment Data'!B8</f>
        <v/>
      </c>
      <c r="C7" s="5">
        <f>'Segment Data'!E8/'Segment Data'!D8</f>
        <v/>
      </c>
      <c r="D7" s="5">
        <f>'Segment Data'!G8/'Segment Data'!F8</f>
        <v/>
      </c>
      <c r="E7" s="5">
        <f>'Segment Data'!I8/'Segment Data'!H8</f>
        <v/>
      </c>
    </row>
    <row r="8" ht="15.6" customHeight="1" s="9">
      <c r="A8" s="1" t="inlineStr">
        <is>
          <t>PBNA</t>
        </is>
      </c>
      <c r="B8" s="5">
        <f>'Segment Data'!C9/'Segment Data'!B9</f>
        <v/>
      </c>
      <c r="C8" s="5">
        <f>'Segment Data'!E9/'Segment Data'!D9</f>
        <v/>
      </c>
      <c r="D8" s="5">
        <f>'Segment Data'!G9/'Segment Data'!F9</f>
        <v/>
      </c>
      <c r="E8" s="5">
        <f>'Segment Data'!I9/'Segment Data'!H9</f>
        <v/>
      </c>
    </row>
    <row r="9" ht="15.6" customHeight="1" s="9">
      <c r="A9" s="1" t="inlineStr">
        <is>
          <t>LatAm</t>
        </is>
      </c>
      <c r="B9" s="5">
        <f>'Segment Data'!C10/'Segment Data'!B10</f>
        <v/>
      </c>
      <c r="C9" s="5">
        <f>'Segment Data'!E10/'Segment Data'!D10</f>
        <v/>
      </c>
      <c r="D9" s="5">
        <f>'Segment Data'!G10/'Segment Data'!F10</f>
        <v/>
      </c>
      <c r="E9" s="5">
        <f>'Segment Data'!I10/'Segment Data'!H10</f>
        <v/>
      </c>
    </row>
    <row r="10" ht="15.6" customHeight="1" s="9">
      <c r="A10" s="1" t="inlineStr">
        <is>
          <t>Europe</t>
        </is>
      </c>
      <c r="B10" s="5">
        <f>'Segment Data'!C11/'Segment Data'!B11</f>
        <v/>
      </c>
      <c r="C10" s="5">
        <f>'Segment Data'!E11/'Segment Data'!D11</f>
        <v/>
      </c>
      <c r="D10" s="5">
        <f>'Segment Data'!G11/'Segment Data'!F11</f>
        <v/>
      </c>
      <c r="E10" s="5">
        <f>'Segment Data'!I11/'Segment Data'!H11</f>
        <v/>
      </c>
    </row>
    <row r="11" ht="15.6" customHeight="1" s="9">
      <c r="A11" s="1" t="inlineStr">
        <is>
          <t>AMESA</t>
        </is>
      </c>
      <c r="B11" s="5">
        <f>'Segment Data'!C12/'Segment Data'!B12</f>
        <v/>
      </c>
      <c r="C11" s="5">
        <f>'Segment Data'!E12/'Segment Data'!D12</f>
        <v/>
      </c>
      <c r="D11" s="5">
        <f>'Segment Data'!G12/'Segment Data'!F12</f>
        <v/>
      </c>
      <c r="E11" s="5">
        <f>'Segment Data'!I12/'Segment Data'!H12</f>
        <v/>
      </c>
    </row>
    <row r="12" ht="15.6" customHeight="1" s="9">
      <c r="A12" s="1" t="inlineStr">
        <is>
          <t>APAC</t>
        </is>
      </c>
      <c r="B12" s="5">
        <f>'Segment Data'!C13/'Segment Data'!B13</f>
        <v/>
      </c>
      <c r="C12" s="5">
        <f>'Segment Data'!E13/'Segment Data'!D13</f>
        <v/>
      </c>
      <c r="D12" s="5">
        <f>'Segment Data'!G13/'Segment Data'!F13</f>
        <v/>
      </c>
      <c r="E12" s="5">
        <f>'Segment Data'!I13/'Segment Data'!H13</f>
        <v/>
      </c>
    </row>
    <row r="13" ht="16.35" customHeight="1" s="9">
      <c r="A13" s="4" t="n"/>
      <c r="B13" s="4" t="n"/>
      <c r="C13" s="4" t="n"/>
      <c r="D13" s="4" t="n"/>
      <c r="E13" s="4" t="n"/>
    </row>
    <row r="14" ht="16.35" customHeight="1" s="9">
      <c r="A14" s="10" t="inlineStr">
        <is>
          <t>2023–2025: Recast Six-Segment Structure</t>
        </is>
      </c>
      <c r="E14" s="4" t="n"/>
    </row>
    <row r="15" ht="34.5" customHeight="1" s="9">
      <c r="A15" s="6" t="inlineStr">
        <is>
          <t>Segment</t>
        </is>
      </c>
      <c r="B15" s="6" t="inlineStr">
        <is>
          <t>2023 Margin</t>
        </is>
      </c>
      <c r="C15" s="6" t="inlineStr">
        <is>
          <t>2024 Margin</t>
        </is>
      </c>
      <c r="D15" s="6" t="inlineStr">
        <is>
          <t>2025 Margin</t>
        </is>
      </c>
      <c r="E15" s="4" t="n"/>
    </row>
    <row r="16" ht="16.35" customHeight="1" s="9">
      <c r="A16" s="1" t="inlineStr">
        <is>
          <t>PFNA</t>
        </is>
      </c>
      <c r="B16" s="5">
        <f>'Segment Data'!C18/'Segment Data'!B18</f>
        <v/>
      </c>
      <c r="C16" s="5">
        <f>'Segment Data'!E18/'Segment Data'!D18</f>
        <v/>
      </c>
      <c r="D16" s="5">
        <f>'Segment Data'!G18/'Segment Data'!F18</f>
        <v/>
      </c>
      <c r="E16" s="4" t="n"/>
    </row>
    <row r="17" ht="16.35" customHeight="1" s="9">
      <c r="A17" s="1" t="inlineStr">
        <is>
          <t>PBNA</t>
        </is>
      </c>
      <c r="B17" s="5">
        <f>'Segment Data'!C19/'Segment Data'!B19</f>
        <v/>
      </c>
      <c r="C17" s="5">
        <f>'Segment Data'!E19/'Segment Data'!D19</f>
        <v/>
      </c>
      <c r="D17" s="5">
        <f>'Segment Data'!G19/'Segment Data'!F19</f>
        <v/>
      </c>
      <c r="E17" s="4" t="n"/>
    </row>
    <row r="18" ht="16.35" customHeight="1" s="9">
      <c r="A18" s="1" t="inlineStr">
        <is>
          <t>IB Franchise</t>
        </is>
      </c>
      <c r="B18" s="5">
        <f>'Segment Data'!C20/'Segment Data'!B20</f>
        <v/>
      </c>
      <c r="C18" s="5">
        <f>'Segment Data'!E20/'Segment Data'!D20</f>
        <v/>
      </c>
      <c r="D18" s="5">
        <f>'Segment Data'!G20/'Segment Data'!F20</f>
        <v/>
      </c>
      <c r="E18" s="4" t="n"/>
    </row>
    <row r="19" ht="16.35" customHeight="1" s="9">
      <c r="A19" s="1" t="inlineStr">
        <is>
          <t>EMEA</t>
        </is>
      </c>
      <c r="B19" s="5">
        <f>'Segment Data'!C21/'Segment Data'!B21</f>
        <v/>
      </c>
      <c r="C19" s="5">
        <f>'Segment Data'!E21/'Segment Data'!D21</f>
        <v/>
      </c>
      <c r="D19" s="5">
        <f>'Segment Data'!G21/'Segment Data'!F21</f>
        <v/>
      </c>
      <c r="E19" s="4" t="n"/>
    </row>
    <row r="20" ht="16.35" customHeight="1" s="9">
      <c r="A20" s="1" t="inlineStr">
        <is>
          <t>LatAm Foods</t>
        </is>
      </c>
      <c r="B20" s="5">
        <f>'Segment Data'!C22/'Segment Data'!B22</f>
        <v/>
      </c>
      <c r="C20" s="5">
        <f>'Segment Data'!E22/'Segment Data'!D22</f>
        <v/>
      </c>
      <c r="D20" s="5">
        <f>'Segment Data'!G22/'Segment Data'!F22</f>
        <v/>
      </c>
      <c r="E20" s="4" t="n"/>
    </row>
    <row r="21" ht="16.35" customHeight="1" s="9">
      <c r="A21" s="1" t="inlineStr">
        <is>
          <t>Asia Pacific Foods</t>
        </is>
      </c>
      <c r="B21" s="5">
        <f>'Segment Data'!C23/'Segment Data'!B23</f>
        <v/>
      </c>
      <c r="C21" s="5">
        <f>'Segment Data'!E23/'Segment Data'!D23</f>
        <v/>
      </c>
      <c r="D21" s="5">
        <f>'Segment Data'!G23/'Segment Data'!F23</f>
        <v/>
      </c>
      <c r="E21" s="4" t="n"/>
    </row>
  </sheetData>
  <mergeCells count="4">
    <mergeCell ref="A1:I1"/>
    <mergeCell ref="A4:E4"/>
    <mergeCell ref="A2:I2"/>
    <mergeCell ref="A14:D14"/>
  </mergeCells>
  <conditionalFormatting sqref="A6:E21">
    <cfRule type="cellIs" priority="1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2" t="n">
        <v>2019</v>
      </c>
      <c r="C1" s="12" t="n">
        <v>2020</v>
      </c>
      <c r="D1" s="12" t="n">
        <v>2021</v>
      </c>
      <c r="E1" s="12" t="n">
        <v>2022</v>
      </c>
      <c r="F1" s="12" t="n">
        <v>2023</v>
      </c>
      <c r="G1" s="12" t="n">
        <v>2024</v>
      </c>
      <c r="H1" s="12" t="n">
        <v>2025</v>
      </c>
    </row>
    <row r="2">
      <c r="A2" s="12" t="inlineStr">
        <is>
          <t>Net Revenue</t>
        </is>
      </c>
      <c r="B2" t="n">
        <v>67161</v>
      </c>
      <c r="C2" t="n">
        <v>70372</v>
      </c>
      <c r="D2" t="n">
        <v>79474</v>
      </c>
      <c r="E2" t="n">
        <v>86392</v>
      </c>
      <c r="F2" t="n">
        <v>91471</v>
      </c>
      <c r="G2" t="n">
        <v>91854</v>
      </c>
      <c r="H2" t="n">
        <v>93925</v>
      </c>
    </row>
    <row r="3">
      <c r="A3" s="12" t="inlineStr">
        <is>
          <t>Cost of Sales</t>
        </is>
      </c>
      <c r="B3" t="n">
        <v>30132</v>
      </c>
      <c r="C3" t="n">
        <v>31797</v>
      </c>
      <c r="D3" t="n">
        <v>37075</v>
      </c>
      <c r="E3" t="n">
        <v>40576</v>
      </c>
      <c r="F3" t="n">
        <v>41881</v>
      </c>
      <c r="G3" t="n">
        <v>41744</v>
      </c>
      <c r="H3" t="n">
        <v>43066</v>
      </c>
    </row>
    <row r="4">
      <c r="A4" s="12" t="inlineStr">
        <is>
          <t>Gross Profit</t>
        </is>
      </c>
      <c r="B4" t="n">
        <v>37029</v>
      </c>
      <c r="C4" t="n">
        <v>38575</v>
      </c>
      <c r="D4" t="n">
        <v>42399</v>
      </c>
      <c r="E4" t="n">
        <v>45816</v>
      </c>
      <c r="F4" t="n">
        <v>49590</v>
      </c>
      <c r="G4" t="n">
        <v>50110</v>
      </c>
      <c r="H4" t="n">
        <v>50859</v>
      </c>
    </row>
    <row r="5">
      <c r="A5" s="12" t="inlineStr">
        <is>
          <t>Net Income</t>
        </is>
      </c>
      <c r="B5" t="n">
        <v>7314</v>
      </c>
      <c r="C5" t="n">
        <v>7120</v>
      </c>
      <c r="D5" t="n">
        <v>7618</v>
      </c>
      <c r="E5" t="n">
        <v>8910</v>
      </c>
      <c r="F5" t="n">
        <v>9074</v>
      </c>
      <c r="G5" t="n">
        <v>9578</v>
      </c>
      <c r="H5" t="n">
        <v>8240</v>
      </c>
    </row>
    <row r="6">
      <c r="A6" s="12" t="inlineStr">
        <is>
          <t>Total Assets</t>
        </is>
      </c>
      <c r="B6" t="n">
        <v>78547</v>
      </c>
      <c r="C6" t="n">
        <v>92918</v>
      </c>
      <c r="D6" t="n">
        <v>92377</v>
      </c>
      <c r="E6" t="n">
        <v>92187</v>
      </c>
      <c r="F6" t="n">
        <v>100495</v>
      </c>
      <c r="G6" t="n">
        <v>99467</v>
      </c>
      <c r="H6" t="n">
        <v>107399</v>
      </c>
    </row>
    <row r="7">
      <c r="A7" s="12" t="inlineStr">
        <is>
          <t>Shareholders Equity</t>
        </is>
      </c>
      <c r="B7" t="n">
        <v>14786</v>
      </c>
      <c r="C7" t="n">
        <v>13454</v>
      </c>
      <c r="D7" t="n">
        <v>16043</v>
      </c>
      <c r="E7" t="n">
        <v>17149</v>
      </c>
      <c r="F7" t="n">
        <v>18503</v>
      </c>
      <c r="G7" t="n">
        <v>18041</v>
      </c>
      <c r="H7" t="n">
        <v>20406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2026-07-28T01:39:38Z</dcterms:created>
  <dcterms:modified xmlns:dcterms="http://purl.org/dc/terms/" xmlns:xsi="http://www.w3.org/2001/XMLSchema-instance" xsi:type="dcterms:W3CDTF">2026-08-11T02:43:58Z</dcterms:modified>
  <cp:lastModifiedBy>fatiha Okesola</cp:lastModifiedBy>
  <cp:revision>0</cp:revision>
</cp:coreProperties>
</file>